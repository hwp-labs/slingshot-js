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490" windowHeight="8655"/>
  </bookViews>
  <sheets>
    <sheet name="AUG 2019" sheetId="1" r:id="rId1"/>
    <sheet name="REPORT" sheetId="2" r:id="rId2"/>
  </sheets>
  <definedNames>
    <definedName name="_xlnm._FilterDatabase" localSheetId="0" hidden="1">'AUG 2019'!$A$9:$AS$36</definedName>
    <definedName name="_xlnm.Print_Area" localSheetId="0">'AUG 2019'!$A$1:$AS$35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R12" i="1" l="1"/>
  <c r="AS12" i="1" s="1"/>
  <c r="AR13" i="1"/>
  <c r="AS13" i="1" s="1"/>
  <c r="AR14" i="1"/>
  <c r="AS14" i="1" s="1"/>
  <c r="AR15" i="1"/>
  <c r="AS15" i="1" s="1"/>
  <c r="AR16" i="1"/>
  <c r="AS16" i="1" s="1"/>
  <c r="AR17" i="1"/>
  <c r="AS17" i="1" s="1"/>
  <c r="AR18" i="1"/>
  <c r="AS18" i="1" s="1"/>
  <c r="AR19" i="1"/>
  <c r="AS19" i="1" s="1"/>
  <c r="AR20" i="1"/>
  <c r="AS20" i="1" s="1"/>
  <c r="AR21" i="1"/>
  <c r="AS21" i="1" s="1"/>
  <c r="AR22" i="1"/>
  <c r="AS22" i="1" s="1"/>
  <c r="AR23" i="1"/>
  <c r="AS23" i="1" s="1"/>
  <c r="AR24" i="1"/>
  <c r="AS24" i="1" s="1"/>
  <c r="AR25" i="1"/>
  <c r="AS25" i="1" s="1"/>
  <c r="AR26" i="1"/>
  <c r="AS26" i="1" s="1"/>
  <c r="AR27" i="1"/>
  <c r="AS27" i="1" s="1"/>
  <c r="AR28" i="1"/>
  <c r="AS28" i="1" s="1"/>
  <c r="AR29" i="1"/>
  <c r="AS29" i="1" s="1"/>
  <c r="AR30" i="1"/>
  <c r="AS30" i="1" s="1"/>
  <c r="AR31" i="1"/>
  <c r="AS31" i="1" s="1"/>
  <c r="AR32" i="1"/>
  <c r="AS32" i="1" s="1"/>
  <c r="AR33" i="1"/>
  <c r="AS33" i="1" s="1"/>
  <c r="AR34" i="1"/>
  <c r="AS34" i="1" s="1"/>
  <c r="AR35" i="1"/>
  <c r="AS35" i="1" s="1"/>
  <c r="AR11" i="1"/>
  <c r="AS11" i="1" s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AQ36" i="1"/>
  <c r="H36" i="1"/>
</calcChain>
</file>

<file path=xl/comments1.xml><?xml version="1.0" encoding="utf-8"?>
<comments xmlns="http://schemas.openxmlformats.org/spreadsheetml/2006/main">
  <authors>
    <author>User</author>
  </authors>
  <commentList>
    <comment ref="U9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PROF. EKUOBASE</t>
        </r>
      </text>
    </comment>
    <comment ref="AN9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LAST DAY</t>
        </r>
      </text>
    </comment>
    <comment ref="T10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DAY 12</t>
        </r>
      </text>
    </comment>
    <comment ref="AK10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DAY 24</t>
        </r>
      </text>
    </comment>
  </commentList>
</comments>
</file>

<file path=xl/sharedStrings.xml><?xml version="1.0" encoding="utf-8"?>
<sst xmlns="http://schemas.openxmlformats.org/spreadsheetml/2006/main" count="181" uniqueCount="95">
  <si>
    <t>S/N</t>
  </si>
  <si>
    <t>SEX</t>
  </si>
  <si>
    <t>HELLO WORLD PROJECT (HWP LABS)</t>
  </si>
  <si>
    <t>FACILITATOR: TUGBEH EMMANUEL O. (08169960927)</t>
  </si>
  <si>
    <t>PHONE NUMBER</t>
  </si>
  <si>
    <t>F</t>
  </si>
  <si>
    <t>M</t>
  </si>
  <si>
    <t>STUDENT NAME</t>
  </si>
  <si>
    <t>STUDENT ATTENDANCE SHEET</t>
  </si>
  <si>
    <t>PERCENT %</t>
  </si>
  <si>
    <t>DAYS AND DATES</t>
  </si>
  <si>
    <t>BATCH CODE:  HWP/RMSC/AUG/2019</t>
  </si>
  <si>
    <t>PROGRAMME: SLINGSHOT JS</t>
  </si>
  <si>
    <t>ORGANISATION:  HWP LABS (RE-MASTERS IN COMPUTER SCIENCE)</t>
  </si>
  <si>
    <t>OGANIRU SUCCESS</t>
  </si>
  <si>
    <t>TUNDE-ADELEKE TI-JESU</t>
  </si>
  <si>
    <t>SULEIMAN NACHANUYA</t>
  </si>
  <si>
    <t>MOGBOGU FAUSTINE</t>
  </si>
  <si>
    <t>DIGHOMANOR JEREMIAH</t>
  </si>
  <si>
    <t>ATUMAH DANIEL MUDIAGA</t>
  </si>
  <si>
    <t>OBORO FOLUSHO OIZAMISI</t>
  </si>
  <si>
    <t>OSUNBOR OSARUGUE</t>
  </si>
  <si>
    <t>OKEKE CHIDERA</t>
  </si>
  <si>
    <t>HWP/RMSC/001</t>
  </si>
  <si>
    <t>HWP/RMSC/002</t>
  </si>
  <si>
    <t>HWP/RMSC/003</t>
  </si>
  <si>
    <t>HWP/RMSC/004</t>
  </si>
  <si>
    <t>HWP/RMSC/005</t>
  </si>
  <si>
    <t>HWP/RMSC/006</t>
  </si>
  <si>
    <t>HWP/RMSC/007</t>
  </si>
  <si>
    <t>HWP/RMSC/008</t>
  </si>
  <si>
    <t>HWP/RMSC/009</t>
  </si>
  <si>
    <t>HWP/RMSC/010</t>
  </si>
  <si>
    <t>HWP/RMSC/011</t>
  </si>
  <si>
    <t>HWP/RMSC/012</t>
  </si>
  <si>
    <t>STUDENT ID</t>
  </si>
  <si>
    <t>REG. DATE</t>
  </si>
  <si>
    <t>15-08-2019</t>
  </si>
  <si>
    <t>16-08-2019</t>
  </si>
  <si>
    <t>19-08-2019</t>
  </si>
  <si>
    <t>20-08-2019</t>
  </si>
  <si>
    <t>26-08-2019</t>
  </si>
  <si>
    <t>02-09-2019</t>
  </si>
  <si>
    <t>NDUKWE PAULINE EBERE</t>
  </si>
  <si>
    <t>IMARHIAGBE VICTOR EGHOSA</t>
  </si>
  <si>
    <t>T</t>
  </si>
  <si>
    <t>NWABUOKEI ONYEMAECHI CLEMENT</t>
  </si>
  <si>
    <t>22-08-2019</t>
  </si>
  <si>
    <t>27-08-2019</t>
  </si>
  <si>
    <t>29-08-2019</t>
  </si>
  <si>
    <t>03-09-2019</t>
  </si>
  <si>
    <t>05-09-2019</t>
  </si>
  <si>
    <t>09-09-2019</t>
  </si>
  <si>
    <t>10-09-2019</t>
  </si>
  <si>
    <t>12-09-2019</t>
  </si>
  <si>
    <t>16-09-2019</t>
  </si>
  <si>
    <t>17-09-2019</t>
  </si>
  <si>
    <t>19-09-2019</t>
  </si>
  <si>
    <t>23-09-2019</t>
  </si>
  <si>
    <t>24-09-2019</t>
  </si>
  <si>
    <t>26-09-2019</t>
  </si>
  <si>
    <t>30-09-2019</t>
  </si>
  <si>
    <t>01-10-2019</t>
  </si>
  <si>
    <t>03-10-2019</t>
  </si>
  <si>
    <t>07-10-2019</t>
  </si>
  <si>
    <t>08-10-2019</t>
  </si>
  <si>
    <t>10-10-2019</t>
  </si>
  <si>
    <t>14-10-2019</t>
  </si>
  <si>
    <t>IMADONMWINYI OSAZEE FRANK</t>
  </si>
  <si>
    <t>OISE GODFREY</t>
  </si>
  <si>
    <t>ICHE ANTHONIA N.</t>
  </si>
  <si>
    <t>AISIEN FAVOUR</t>
  </si>
  <si>
    <t>JOBI HOPE</t>
  </si>
  <si>
    <t>WEMIMO TOLULOPE</t>
  </si>
  <si>
    <t>HARRISON</t>
  </si>
  <si>
    <t>IVIE</t>
  </si>
  <si>
    <t>OGBODU VIOLET</t>
  </si>
  <si>
    <t>15-10-2019</t>
  </si>
  <si>
    <t>17-10-2019</t>
  </si>
  <si>
    <t>21-10-2019</t>
  </si>
  <si>
    <t>22-10-2019</t>
  </si>
  <si>
    <t>24-10-2019</t>
  </si>
  <si>
    <t>28-10-2019</t>
  </si>
  <si>
    <t>29-10-2019</t>
  </si>
  <si>
    <t>31-10-2019</t>
  </si>
  <si>
    <t>04-11-2019</t>
  </si>
  <si>
    <t>05-11-2019</t>
  </si>
  <si>
    <t>RE-MASTERS (RM.Sc.) IN COMPUTER SCIENCE</t>
  </si>
  <si>
    <t xml:space="preserve">HWP LABS, BENIN CITY, EDO STATE </t>
  </si>
  <si>
    <r>
      <rPr>
        <b/>
        <sz val="12"/>
        <color rgb="FF000000"/>
        <rFont val="Times New Roman"/>
        <family val="1"/>
      </rPr>
      <t>Programme:</t>
    </r>
    <r>
      <rPr>
        <sz val="12"/>
        <color rgb="FF000000"/>
        <rFont val="Times New Roman"/>
        <family val="1"/>
      </rPr>
      <t xml:space="preserve">  Slingshot JS</t>
    </r>
  </si>
  <si>
    <r>
      <t xml:space="preserve">Batch Code: </t>
    </r>
    <r>
      <rPr>
        <sz val="12"/>
        <color rgb="FF000000"/>
        <rFont val="Times New Roman"/>
        <family val="1"/>
      </rPr>
      <t xml:space="preserve"> HWP/RMSC/AUG/2019</t>
    </r>
  </si>
  <si>
    <t>STUDENT ATTENDANCE REPORT 2018/2019 SESSION</t>
  </si>
  <si>
    <t>TOTAL (of 26)</t>
  </si>
  <si>
    <r>
      <t>Start Date:</t>
    </r>
    <r>
      <rPr>
        <sz val="12"/>
        <color rgb="FF000000"/>
        <rFont val="Times New Roman"/>
        <family val="1"/>
      </rPr>
      <t xml:space="preserve"> Thursday, August 15, 2019</t>
    </r>
  </si>
  <si>
    <r>
      <t>End Date:</t>
    </r>
    <r>
      <rPr>
        <sz val="12"/>
        <color rgb="FF000000"/>
        <rFont val="Times New Roman"/>
        <family val="1"/>
      </rPr>
      <t xml:space="preserve"> Tuesday, October 29, 2019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</si>
</sst>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000\-00000"/>
    <numFmt numFmtId="165" formatCode="[$-409]d/mmm/yyyy;@"/>
  </numFmts>
  <fonts count="23" x14ac:knownFonts="1">
    <font>
      <sz val="11"/>
      <color theme="1"/>
      <name val="Calibri"/>
      <family val="2"/>
      <scheme val="minor"/>
    </font>
    <font>
      <b/>
      <sz val="18"/>
      <color theme="1"/>
      <name val="Sitka Text"/>
    </font>
    <font>
      <sz val="12"/>
      <color theme="1"/>
      <name val="Sitka Text"/>
    </font>
    <font>
      <b/>
      <sz val="14"/>
      <color theme="1"/>
      <name val="Sitka Text"/>
    </font>
    <font>
      <b/>
      <sz val="12"/>
      <color theme="1"/>
      <name val="Sitka Text"/>
    </font>
    <font>
      <b/>
      <sz val="10"/>
      <color theme="1"/>
      <name val="Sitka Text"/>
    </font>
    <font>
      <sz val="10"/>
      <name val="Sitka Text"/>
    </font>
    <font>
      <sz val="10"/>
      <color theme="1"/>
      <name val="Sitka Text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C00000"/>
      <name val="Sitka Text"/>
    </font>
    <font>
      <b/>
      <sz val="10"/>
      <color rgb="FF00B050"/>
      <name val="Sitka Text"/>
    </font>
    <font>
      <sz val="10"/>
      <color theme="3"/>
      <name val="Sitka Text"/>
    </font>
    <font>
      <sz val="10"/>
      <color rgb="FFC00000"/>
      <name val="Sitka Text"/>
    </font>
    <font>
      <b/>
      <sz val="18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0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1"/>
      <color rgb="FF0061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2" fillId="5" borderId="0" applyNumberFormat="0" applyBorder="0" applyAlignment="0" applyProtection="0"/>
  </cellStyleXfs>
  <cellXfs count="6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/>
    <xf numFmtId="164" fontId="6" fillId="0" borderId="1" xfId="0" applyNumberFormat="1" applyFont="1" applyBorder="1" applyAlignment="1">
      <alignment horizontal="left"/>
    </xf>
    <xf numFmtId="164" fontId="6" fillId="0" borderId="1" xfId="0" applyNumberFormat="1" applyFont="1" applyBorder="1" applyAlignment="1">
      <alignment horizontal="left" vertical="center"/>
    </xf>
    <xf numFmtId="0" fontId="7" fillId="0" borderId="1" xfId="0" applyFont="1" applyBorder="1"/>
    <xf numFmtId="164" fontId="7" fillId="0" borderId="1" xfId="0" applyNumberFormat="1" applyFont="1" applyBorder="1" applyAlignment="1">
      <alignment horizontal="left"/>
    </xf>
    <xf numFmtId="0" fontId="7" fillId="0" borderId="1" xfId="0" applyFont="1" applyBorder="1" applyAlignment="1">
      <alignment vertical="center"/>
    </xf>
    <xf numFmtId="164" fontId="7" fillId="0" borderId="1" xfId="0" applyNumberFormat="1" applyFont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5" fillId="0" borderId="2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164" fontId="7" fillId="0" borderId="0" xfId="0" applyNumberFormat="1" applyFont="1" applyAlignment="1">
      <alignment horizontal="left" vertical="center"/>
    </xf>
    <xf numFmtId="165" fontId="5" fillId="0" borderId="1" xfId="0" applyNumberFormat="1" applyFont="1" applyBorder="1" applyAlignment="1">
      <alignment vertical="center" textRotation="90"/>
    </xf>
    <xf numFmtId="165" fontId="7" fillId="0" borderId="1" xfId="0" applyNumberFormat="1" applyFont="1" applyBorder="1" applyAlignment="1">
      <alignment vertical="center"/>
    </xf>
    <xf numFmtId="0" fontId="10" fillId="2" borderId="1" xfId="0" applyFont="1" applyFill="1" applyBorder="1" applyAlignment="1">
      <alignment vertical="center" textRotation="90"/>
    </xf>
    <xf numFmtId="165" fontId="11" fillId="3" borderId="1" xfId="0" applyNumberFormat="1" applyFont="1" applyFill="1" applyBorder="1" applyAlignment="1">
      <alignment vertical="center" textRotation="90"/>
    </xf>
    <xf numFmtId="0" fontId="2" fillId="4" borderId="0" xfId="0" applyFont="1" applyFill="1" applyAlignment="1">
      <alignment vertical="center"/>
    </xf>
    <xf numFmtId="165" fontId="5" fillId="4" borderId="1" xfId="0" applyNumberFormat="1" applyFont="1" applyFill="1" applyBorder="1" applyAlignment="1">
      <alignment vertical="center" textRotation="90"/>
    </xf>
    <xf numFmtId="0" fontId="5" fillId="4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5" fillId="0" borderId="6" xfId="0" applyFont="1" applyBorder="1" applyAlignment="1">
      <alignment vertical="center"/>
    </xf>
    <xf numFmtId="164" fontId="15" fillId="0" borderId="0" xfId="0" applyNumberFormat="1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0" fillId="0" borderId="4" xfId="0" applyFont="1" applyBorder="1" applyAlignment="1">
      <alignment horizontal="center" vertical="center"/>
    </xf>
    <xf numFmtId="165" fontId="15" fillId="0" borderId="4" xfId="0" applyNumberFormat="1" applyFont="1" applyBorder="1" applyAlignment="1">
      <alignment vertical="center"/>
    </xf>
    <xf numFmtId="0" fontId="20" fillId="0" borderId="4" xfId="0" applyFont="1" applyBorder="1" applyAlignment="1">
      <alignment vertical="center"/>
    </xf>
    <xf numFmtId="0" fontId="20" fillId="0" borderId="7" xfId="0" applyFont="1" applyBorder="1" applyAlignment="1">
      <alignment vertical="center"/>
    </xf>
    <xf numFmtId="0" fontId="20" fillId="0" borderId="1" xfId="0" applyFont="1" applyBorder="1" applyAlignment="1">
      <alignment horizontal="center" vertical="center"/>
    </xf>
    <xf numFmtId="165" fontId="15" fillId="0" borderId="1" xfId="0" applyNumberFormat="1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164" fontId="20" fillId="0" borderId="1" xfId="0" applyNumberFormat="1" applyFont="1" applyBorder="1" applyAlignment="1">
      <alignment horizontal="left" vertical="center"/>
    </xf>
    <xf numFmtId="0" fontId="20" fillId="0" borderId="2" xfId="0" applyFont="1" applyBorder="1" applyAlignment="1">
      <alignment vertical="center"/>
    </xf>
    <xf numFmtId="164" fontId="15" fillId="0" borderId="1" xfId="0" applyNumberFormat="1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17" fillId="0" borderId="0" xfId="0" applyFont="1" applyAlignment="1">
      <alignment vertical="center"/>
    </xf>
    <xf numFmtId="164" fontId="20" fillId="0" borderId="4" xfId="0" applyNumberFormat="1" applyFont="1" applyBorder="1" applyAlignment="1">
      <alignment horizontal="left" vertical="center"/>
    </xf>
    <xf numFmtId="0" fontId="15" fillId="0" borderId="4" xfId="0" applyFont="1" applyBorder="1" applyAlignment="1">
      <alignment vertical="center"/>
    </xf>
    <xf numFmtId="0" fontId="19" fillId="0" borderId="8" xfId="0" applyFont="1" applyBorder="1" applyAlignment="1">
      <alignment horizontal="center" vertical="center"/>
    </xf>
    <xf numFmtId="164" fontId="19" fillId="0" borderId="8" xfId="0" applyNumberFormat="1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 textRotation="90"/>
    </xf>
    <xf numFmtId="0" fontId="20" fillId="0" borderId="4" xfId="0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164" fontId="21" fillId="0" borderId="1" xfId="0" applyNumberFormat="1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 textRotation="90"/>
    </xf>
    <xf numFmtId="0" fontId="5" fillId="0" borderId="4" xfId="0" applyFont="1" applyBorder="1" applyAlignment="1">
      <alignment horizontal="center" vertical="center" textRotation="90"/>
    </xf>
    <xf numFmtId="0" fontId="5" fillId="0" borderId="5" xfId="0" applyFont="1" applyBorder="1" applyAlignment="1">
      <alignment horizontal="center" vertical="center" textRotation="90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22" fillId="5" borderId="1" xfId="1" applyBorder="1" applyAlignment="1">
      <alignment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S36"/>
  <sheetViews>
    <sheetView tabSelected="1" topLeftCell="C1" zoomScale="90" zoomScaleNormal="90" workbookViewId="0">
      <selection activeCell="C12" sqref="C12"/>
    </sheetView>
  </sheetViews>
  <sheetFormatPr defaultRowHeight="19.5" x14ac:dyDescent="0.25"/>
  <cols>
    <col min="1" max="1" width="4.42578125" style="2" customWidth="1"/>
    <col min="2" max="2" width="12.42578125" style="2" bestFit="1" customWidth="1"/>
    <col min="3" max="3" width="37.28515625" style="2" bestFit="1" customWidth="1"/>
    <col min="4" max="4" width="4.7109375" style="2" bestFit="1" customWidth="1"/>
    <col min="5" max="5" width="17.7109375" style="3" bestFit="1" customWidth="1"/>
    <col min="6" max="6" width="17" style="2" bestFit="1" customWidth="1"/>
    <col min="7" max="7" width="4.140625" style="2" customWidth="1"/>
    <col min="8" max="13" width="4" style="2" bestFit="1" customWidth="1"/>
    <col min="14" max="14" width="4" style="25" bestFit="1" customWidth="1"/>
    <col min="15" max="18" width="4" style="2" bestFit="1" customWidth="1"/>
    <col min="19" max="19" width="4" style="2" customWidth="1"/>
    <col min="20" max="26" width="4" style="2" bestFit="1" customWidth="1"/>
    <col min="27" max="27" width="4" style="25" bestFit="1" customWidth="1"/>
    <col min="28" max="32" width="4" style="2" bestFit="1" customWidth="1"/>
    <col min="33" max="33" width="4.140625" style="2" bestFit="1" customWidth="1"/>
    <col min="34" max="40" width="4.140625" style="2" customWidth="1"/>
    <col min="41" max="41" width="4.140625" style="25" customWidth="1"/>
    <col min="42" max="42" width="4.140625" style="2" customWidth="1"/>
    <col min="43" max="43" width="4.140625" style="25" customWidth="1"/>
    <col min="44" max="45" width="4" style="2" bestFit="1" customWidth="1"/>
    <col min="46" max="16384" width="9.140625" style="2"/>
  </cols>
  <sheetData>
    <row r="1" spans="1:45" ht="30" x14ac:dyDescent="0.25">
      <c r="A1" s="1" t="s">
        <v>2</v>
      </c>
      <c r="B1" s="1"/>
    </row>
    <row r="2" spans="1:45" ht="16.5" customHeight="1" x14ac:dyDescent="0.25">
      <c r="A2" s="4" t="s">
        <v>8</v>
      </c>
      <c r="B2" s="4"/>
    </row>
    <row r="4" spans="1:45" x14ac:dyDescent="0.25">
      <c r="A4" s="5" t="s">
        <v>13</v>
      </c>
      <c r="B4" s="5"/>
    </row>
    <row r="5" spans="1:45" x14ac:dyDescent="0.25">
      <c r="A5" s="5" t="s">
        <v>12</v>
      </c>
      <c r="B5" s="5"/>
    </row>
    <row r="6" spans="1:45" x14ac:dyDescent="0.25">
      <c r="A6" s="5" t="s">
        <v>11</v>
      </c>
      <c r="B6" s="5"/>
    </row>
    <row r="7" spans="1:45" x14ac:dyDescent="0.25">
      <c r="A7" s="5" t="s">
        <v>3</v>
      </c>
      <c r="B7" s="5"/>
    </row>
    <row r="8" spans="1:45" x14ac:dyDescent="0.25">
      <c r="A8" s="5"/>
      <c r="B8" s="5"/>
    </row>
    <row r="9" spans="1:45" ht="66.75" customHeight="1" x14ac:dyDescent="0.25">
      <c r="A9" s="16"/>
      <c r="B9" s="16"/>
      <c r="C9" s="16"/>
      <c r="D9" s="16"/>
      <c r="E9" s="20"/>
      <c r="F9" s="16"/>
      <c r="G9" s="58" t="s">
        <v>10</v>
      </c>
      <c r="H9" s="21" t="s">
        <v>37</v>
      </c>
      <c r="I9" s="21" t="s">
        <v>39</v>
      </c>
      <c r="J9" s="21" t="s">
        <v>40</v>
      </c>
      <c r="K9" s="21" t="s">
        <v>47</v>
      </c>
      <c r="L9" s="21" t="s">
        <v>41</v>
      </c>
      <c r="M9" s="21" t="s">
        <v>48</v>
      </c>
      <c r="N9" s="26" t="s">
        <v>49</v>
      </c>
      <c r="O9" s="21" t="s">
        <v>42</v>
      </c>
      <c r="P9" s="21" t="s">
        <v>50</v>
      </c>
      <c r="Q9" s="21" t="s">
        <v>51</v>
      </c>
      <c r="R9" s="21" t="s">
        <v>52</v>
      </c>
      <c r="S9" s="21" t="s">
        <v>53</v>
      </c>
      <c r="T9" s="21" t="s">
        <v>54</v>
      </c>
      <c r="U9" s="23" t="s">
        <v>55</v>
      </c>
      <c r="V9" s="21" t="s">
        <v>56</v>
      </c>
      <c r="W9" s="21" t="s">
        <v>57</v>
      </c>
      <c r="X9" s="21" t="s">
        <v>58</v>
      </c>
      <c r="Y9" s="21" t="s">
        <v>59</v>
      </c>
      <c r="Z9" s="21" t="s">
        <v>60</v>
      </c>
      <c r="AA9" s="26" t="s">
        <v>61</v>
      </c>
      <c r="AB9" s="21" t="s">
        <v>62</v>
      </c>
      <c r="AC9" s="21" t="s">
        <v>63</v>
      </c>
      <c r="AD9" s="21" t="s">
        <v>64</v>
      </c>
      <c r="AE9" s="21" t="s">
        <v>65</v>
      </c>
      <c r="AF9" s="21" t="s">
        <v>66</v>
      </c>
      <c r="AG9" s="21" t="s">
        <v>67</v>
      </c>
      <c r="AH9" s="21" t="s">
        <v>77</v>
      </c>
      <c r="AI9" s="21" t="s">
        <v>78</v>
      </c>
      <c r="AJ9" s="21" t="s">
        <v>79</v>
      </c>
      <c r="AK9" s="21" t="s">
        <v>80</v>
      </c>
      <c r="AL9" s="21" t="s">
        <v>81</v>
      </c>
      <c r="AM9" s="21" t="s">
        <v>82</v>
      </c>
      <c r="AN9" s="24" t="s">
        <v>83</v>
      </c>
      <c r="AO9" s="26" t="s">
        <v>84</v>
      </c>
      <c r="AP9" s="21" t="s">
        <v>85</v>
      </c>
      <c r="AQ9" s="26" t="s">
        <v>86</v>
      </c>
      <c r="AR9" s="58" t="s">
        <v>92</v>
      </c>
      <c r="AS9" s="58" t="s">
        <v>9</v>
      </c>
    </row>
    <row r="10" spans="1:45" x14ac:dyDescent="0.25">
      <c r="A10" s="6" t="s">
        <v>0</v>
      </c>
      <c r="B10" s="6" t="s">
        <v>36</v>
      </c>
      <c r="C10" s="6" t="s">
        <v>7</v>
      </c>
      <c r="D10" s="6" t="s">
        <v>1</v>
      </c>
      <c r="E10" s="7" t="s">
        <v>4</v>
      </c>
      <c r="F10" s="17" t="s">
        <v>35</v>
      </c>
      <c r="G10" s="60"/>
      <c r="H10" s="6">
        <v>1</v>
      </c>
      <c r="I10" s="6">
        <v>2</v>
      </c>
      <c r="J10" s="6">
        <v>3</v>
      </c>
      <c r="K10" s="6">
        <v>4</v>
      </c>
      <c r="L10" s="6">
        <v>5</v>
      </c>
      <c r="M10" s="6">
        <v>6</v>
      </c>
      <c r="N10" s="27">
        <v>7</v>
      </c>
      <c r="O10" s="6">
        <v>8</v>
      </c>
      <c r="P10" s="6">
        <v>9</v>
      </c>
      <c r="Q10" s="6">
        <v>10</v>
      </c>
      <c r="R10" s="6">
        <v>11</v>
      </c>
      <c r="S10" s="6">
        <v>12</v>
      </c>
      <c r="T10" s="6">
        <v>13</v>
      </c>
      <c r="U10" s="6">
        <v>14</v>
      </c>
      <c r="V10" s="6">
        <v>15</v>
      </c>
      <c r="W10" s="6">
        <v>16</v>
      </c>
      <c r="X10" s="6">
        <v>17</v>
      </c>
      <c r="Y10" s="6">
        <v>18</v>
      </c>
      <c r="Z10" s="6">
        <v>19</v>
      </c>
      <c r="AA10" s="27">
        <v>20</v>
      </c>
      <c r="AB10" s="6">
        <v>21</v>
      </c>
      <c r="AC10" s="6">
        <v>22</v>
      </c>
      <c r="AD10" s="6">
        <v>23</v>
      </c>
      <c r="AE10" s="6">
        <v>24</v>
      </c>
      <c r="AF10" s="6">
        <v>25</v>
      </c>
      <c r="AG10" s="6">
        <v>26</v>
      </c>
      <c r="AH10" s="6">
        <v>27</v>
      </c>
      <c r="AI10" s="6">
        <v>28</v>
      </c>
      <c r="AJ10" s="6">
        <v>29</v>
      </c>
      <c r="AK10" s="6">
        <v>30</v>
      </c>
      <c r="AL10" s="6">
        <v>31</v>
      </c>
      <c r="AM10" s="6">
        <v>32</v>
      </c>
      <c r="AN10" s="6">
        <v>33</v>
      </c>
      <c r="AO10" s="27">
        <v>34</v>
      </c>
      <c r="AP10" s="6">
        <v>35</v>
      </c>
      <c r="AQ10" s="27">
        <v>36</v>
      </c>
      <c r="AR10" s="59"/>
      <c r="AS10" s="59"/>
    </row>
    <row r="11" spans="1:45" x14ac:dyDescent="0.35">
      <c r="A11" s="8">
        <v>1</v>
      </c>
      <c r="B11" s="22" t="s">
        <v>37</v>
      </c>
      <c r="C11" s="9" t="s">
        <v>44</v>
      </c>
      <c r="D11" s="8" t="s">
        <v>6</v>
      </c>
      <c r="E11" s="10">
        <v>8034179677</v>
      </c>
      <c r="F11" s="18" t="s">
        <v>23</v>
      </c>
      <c r="G11" s="60"/>
      <c r="H11" s="14">
        <v>1</v>
      </c>
      <c r="I11" s="14">
        <v>1</v>
      </c>
      <c r="J11" s="14">
        <v>1</v>
      </c>
      <c r="K11" s="14">
        <v>1</v>
      </c>
      <c r="L11" s="14"/>
      <c r="M11" s="14"/>
      <c r="N11" s="28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28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28"/>
      <c r="AP11" s="14"/>
      <c r="AQ11" s="28"/>
      <c r="AR11" s="6">
        <f>SUM(H11:AQ11)</f>
        <v>4</v>
      </c>
      <c r="AS11" s="6">
        <f>(AR11*100)/26</f>
        <v>15.384615384615385</v>
      </c>
    </row>
    <row r="12" spans="1:45" x14ac:dyDescent="0.35">
      <c r="A12" s="8">
        <v>2</v>
      </c>
      <c r="B12" s="22" t="s">
        <v>37</v>
      </c>
      <c r="C12" s="9" t="s">
        <v>14</v>
      </c>
      <c r="D12" s="8" t="s">
        <v>6</v>
      </c>
      <c r="E12" s="11">
        <v>8185275509</v>
      </c>
      <c r="F12" s="18" t="s">
        <v>24</v>
      </c>
      <c r="G12" s="60"/>
      <c r="H12" s="14">
        <v>1</v>
      </c>
      <c r="I12" s="14">
        <v>1</v>
      </c>
      <c r="J12" s="14">
        <v>1</v>
      </c>
      <c r="K12" s="14">
        <v>1</v>
      </c>
      <c r="L12" s="14">
        <v>1</v>
      </c>
      <c r="M12" s="14">
        <v>1</v>
      </c>
      <c r="N12" s="28">
        <v>1</v>
      </c>
      <c r="O12" s="14">
        <v>1</v>
      </c>
      <c r="P12" s="14"/>
      <c r="Q12" s="14"/>
      <c r="R12" s="14">
        <v>1</v>
      </c>
      <c r="S12" s="14">
        <v>1</v>
      </c>
      <c r="T12" s="14">
        <v>1</v>
      </c>
      <c r="U12" s="14">
        <v>1</v>
      </c>
      <c r="V12" s="14">
        <v>1</v>
      </c>
      <c r="W12" s="14"/>
      <c r="X12" s="14"/>
      <c r="Y12" s="14">
        <v>1</v>
      </c>
      <c r="Z12" s="14">
        <v>1</v>
      </c>
      <c r="AA12" s="28">
        <v>1</v>
      </c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28"/>
      <c r="AP12" s="14"/>
      <c r="AQ12" s="28"/>
      <c r="AR12" s="6">
        <f t="shared" ref="AR12:AR35" si="0">SUM(H12:AQ12)</f>
        <v>16</v>
      </c>
      <c r="AS12" s="64">
        <f t="shared" ref="AS12:AS35" si="1">(AR12*100)/26</f>
        <v>61.53846153846154</v>
      </c>
    </row>
    <row r="13" spans="1:45" x14ac:dyDescent="0.35">
      <c r="A13" s="8">
        <v>3</v>
      </c>
      <c r="B13" s="22" t="s">
        <v>38</v>
      </c>
      <c r="C13" s="9" t="s">
        <v>15</v>
      </c>
      <c r="D13" s="8" t="s">
        <v>5</v>
      </c>
      <c r="E13" s="11">
        <v>7064971979</v>
      </c>
      <c r="F13" s="18" t="s">
        <v>25</v>
      </c>
      <c r="G13" s="60"/>
      <c r="H13" s="14">
        <v>1</v>
      </c>
      <c r="I13" s="14">
        <v>1</v>
      </c>
      <c r="J13" s="14">
        <v>1</v>
      </c>
      <c r="K13" s="14">
        <v>1</v>
      </c>
      <c r="L13" s="14"/>
      <c r="M13" s="14">
        <v>1</v>
      </c>
      <c r="N13" s="28">
        <v>1</v>
      </c>
      <c r="O13" s="14">
        <v>1</v>
      </c>
      <c r="P13" s="14"/>
      <c r="Q13" s="14">
        <v>1</v>
      </c>
      <c r="R13" s="14">
        <v>1</v>
      </c>
      <c r="S13" s="14">
        <v>1</v>
      </c>
      <c r="T13" s="14">
        <v>1</v>
      </c>
      <c r="U13" s="14"/>
      <c r="V13" s="14">
        <v>1</v>
      </c>
      <c r="W13" s="14"/>
      <c r="X13" s="14">
        <v>1</v>
      </c>
      <c r="Y13" s="14">
        <v>1</v>
      </c>
      <c r="Z13" s="14">
        <v>1</v>
      </c>
      <c r="AA13" s="28"/>
      <c r="AB13" s="14"/>
      <c r="AC13" s="14"/>
      <c r="AD13" s="14">
        <v>1</v>
      </c>
      <c r="AE13" s="14"/>
      <c r="AF13" s="14">
        <v>1</v>
      </c>
      <c r="AG13" s="14">
        <v>1</v>
      </c>
      <c r="AH13" s="14">
        <v>1</v>
      </c>
      <c r="AI13" s="14"/>
      <c r="AJ13" s="14"/>
      <c r="AK13" s="14">
        <v>1</v>
      </c>
      <c r="AL13" s="14"/>
      <c r="AM13" s="14">
        <v>1</v>
      </c>
      <c r="AN13" s="14">
        <v>1</v>
      </c>
      <c r="AO13" s="28"/>
      <c r="AP13" s="14"/>
      <c r="AQ13" s="28"/>
      <c r="AR13" s="6">
        <f t="shared" si="0"/>
        <v>22</v>
      </c>
      <c r="AS13" s="64">
        <f t="shared" si="1"/>
        <v>84.615384615384613</v>
      </c>
    </row>
    <row r="14" spans="1:45" x14ac:dyDescent="0.35">
      <c r="A14" s="8">
        <v>4</v>
      </c>
      <c r="B14" s="22" t="s">
        <v>39</v>
      </c>
      <c r="C14" s="12" t="s">
        <v>16</v>
      </c>
      <c r="D14" s="8" t="s">
        <v>6</v>
      </c>
      <c r="E14" s="13">
        <v>8160590597</v>
      </c>
      <c r="F14" s="18" t="s">
        <v>26</v>
      </c>
      <c r="G14" s="60"/>
      <c r="H14" s="14"/>
      <c r="I14" s="14"/>
      <c r="J14" s="14"/>
      <c r="K14" s="14"/>
      <c r="L14" s="14"/>
      <c r="M14" s="14"/>
      <c r="N14" s="28"/>
      <c r="O14" s="14">
        <v>1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28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28"/>
      <c r="AP14" s="14"/>
      <c r="AQ14" s="28"/>
      <c r="AR14" s="6">
        <f t="shared" si="0"/>
        <v>1</v>
      </c>
      <c r="AS14" s="6">
        <f t="shared" si="1"/>
        <v>3.8461538461538463</v>
      </c>
    </row>
    <row r="15" spans="1:45" x14ac:dyDescent="0.35">
      <c r="A15" s="8">
        <v>5</v>
      </c>
      <c r="B15" s="22" t="s">
        <v>39</v>
      </c>
      <c r="C15" s="12" t="s">
        <v>17</v>
      </c>
      <c r="D15" s="8" t="s">
        <v>6</v>
      </c>
      <c r="E15" s="15">
        <v>8139799185</v>
      </c>
      <c r="F15" s="18" t="s">
        <v>27</v>
      </c>
      <c r="G15" s="60"/>
      <c r="H15" s="14">
        <v>1</v>
      </c>
      <c r="I15" s="14">
        <v>1</v>
      </c>
      <c r="J15" s="14">
        <v>1</v>
      </c>
      <c r="K15" s="14">
        <v>1</v>
      </c>
      <c r="L15" s="14">
        <v>1</v>
      </c>
      <c r="M15" s="14"/>
      <c r="N15" s="28">
        <v>1</v>
      </c>
      <c r="O15" s="14">
        <v>1</v>
      </c>
      <c r="P15" s="14"/>
      <c r="Q15" s="14"/>
      <c r="R15" s="14"/>
      <c r="S15" s="14">
        <v>1</v>
      </c>
      <c r="T15" s="14">
        <v>1</v>
      </c>
      <c r="U15" s="14"/>
      <c r="V15" s="14"/>
      <c r="W15" s="14"/>
      <c r="X15" s="14"/>
      <c r="Y15" s="14"/>
      <c r="Z15" s="14"/>
      <c r="AA15" s="28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28"/>
      <c r="AP15" s="14"/>
      <c r="AQ15" s="28"/>
      <c r="AR15" s="6">
        <f t="shared" si="0"/>
        <v>9</v>
      </c>
      <c r="AS15" s="64">
        <f t="shared" si="1"/>
        <v>34.615384615384613</v>
      </c>
    </row>
    <row r="16" spans="1:45" x14ac:dyDescent="0.35">
      <c r="A16" s="8">
        <v>6</v>
      </c>
      <c r="B16" s="22" t="s">
        <v>39</v>
      </c>
      <c r="C16" s="12" t="s">
        <v>18</v>
      </c>
      <c r="D16" s="8" t="s">
        <v>6</v>
      </c>
      <c r="E16" s="15">
        <v>8068292466</v>
      </c>
      <c r="F16" s="18" t="s">
        <v>28</v>
      </c>
      <c r="G16" s="60"/>
      <c r="H16" s="14"/>
      <c r="I16" s="14">
        <v>1</v>
      </c>
      <c r="J16" s="14">
        <v>1</v>
      </c>
      <c r="K16" s="14">
        <v>1</v>
      </c>
      <c r="L16" s="14">
        <v>1</v>
      </c>
      <c r="M16" s="14">
        <v>1</v>
      </c>
      <c r="N16" s="28">
        <v>1</v>
      </c>
      <c r="O16" s="14"/>
      <c r="P16" s="14"/>
      <c r="Q16" s="14">
        <v>1</v>
      </c>
      <c r="R16" s="14"/>
      <c r="S16" s="14">
        <v>1</v>
      </c>
      <c r="T16" s="14">
        <v>1</v>
      </c>
      <c r="U16" s="14"/>
      <c r="V16" s="14"/>
      <c r="W16" s="14"/>
      <c r="X16" s="14"/>
      <c r="Y16" s="14">
        <v>1</v>
      </c>
      <c r="Z16" s="14">
        <v>1</v>
      </c>
      <c r="AA16" s="28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28"/>
      <c r="AP16" s="14"/>
      <c r="AQ16" s="28"/>
      <c r="AR16" s="6">
        <f t="shared" si="0"/>
        <v>11</v>
      </c>
      <c r="AS16" s="64">
        <f t="shared" si="1"/>
        <v>42.307692307692307</v>
      </c>
    </row>
    <row r="17" spans="1:45" x14ac:dyDescent="0.25">
      <c r="A17" s="8">
        <v>7</v>
      </c>
      <c r="B17" s="22" t="s">
        <v>40</v>
      </c>
      <c r="C17" s="8" t="s">
        <v>43</v>
      </c>
      <c r="D17" s="8" t="s">
        <v>5</v>
      </c>
      <c r="E17" s="15">
        <v>8034529847</v>
      </c>
      <c r="F17" s="18" t="s">
        <v>29</v>
      </c>
      <c r="G17" s="60"/>
      <c r="H17" s="14"/>
      <c r="I17" s="14"/>
      <c r="J17" s="14">
        <v>1</v>
      </c>
      <c r="K17" s="14">
        <v>1</v>
      </c>
      <c r="L17" s="14"/>
      <c r="M17" s="14"/>
      <c r="N17" s="28"/>
      <c r="O17" s="14">
        <v>1</v>
      </c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28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28"/>
      <c r="AP17" s="14"/>
      <c r="AQ17" s="28"/>
      <c r="AR17" s="6">
        <f t="shared" si="0"/>
        <v>3</v>
      </c>
      <c r="AS17" s="6">
        <f t="shared" si="1"/>
        <v>11.538461538461538</v>
      </c>
    </row>
    <row r="18" spans="1:45" x14ac:dyDescent="0.25">
      <c r="A18" s="8">
        <v>8</v>
      </c>
      <c r="B18" s="22" t="s">
        <v>40</v>
      </c>
      <c r="C18" s="30" t="s">
        <v>19</v>
      </c>
      <c r="D18" s="8" t="s">
        <v>6</v>
      </c>
      <c r="E18" s="15">
        <v>9023833282</v>
      </c>
      <c r="F18" s="18" t="s">
        <v>30</v>
      </c>
      <c r="G18" s="60"/>
      <c r="H18" s="14"/>
      <c r="I18" s="14">
        <v>1</v>
      </c>
      <c r="J18" s="14">
        <v>1</v>
      </c>
      <c r="K18" s="14"/>
      <c r="L18" s="14"/>
      <c r="M18" s="14">
        <v>1</v>
      </c>
      <c r="N18" s="28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28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28"/>
      <c r="AP18" s="14"/>
      <c r="AQ18" s="28"/>
      <c r="AR18" s="6">
        <f t="shared" si="0"/>
        <v>3</v>
      </c>
      <c r="AS18" s="6">
        <f t="shared" si="1"/>
        <v>11.538461538461538</v>
      </c>
    </row>
    <row r="19" spans="1:45" x14ac:dyDescent="0.25">
      <c r="A19" s="8">
        <v>9</v>
      </c>
      <c r="B19" s="22" t="s">
        <v>41</v>
      </c>
      <c r="C19" s="8" t="s">
        <v>20</v>
      </c>
      <c r="D19" s="8" t="s">
        <v>5</v>
      </c>
      <c r="E19" s="15">
        <v>8158688636</v>
      </c>
      <c r="F19" s="18" t="s">
        <v>31</v>
      </c>
      <c r="G19" s="60"/>
      <c r="H19" s="14">
        <v>1</v>
      </c>
      <c r="I19" s="14"/>
      <c r="J19" s="14"/>
      <c r="K19" s="14">
        <v>1</v>
      </c>
      <c r="L19" s="14">
        <v>1</v>
      </c>
      <c r="M19" s="14">
        <v>1</v>
      </c>
      <c r="N19" s="28">
        <v>1</v>
      </c>
      <c r="O19" s="14">
        <v>1</v>
      </c>
      <c r="P19" s="14"/>
      <c r="Q19" s="14">
        <v>1</v>
      </c>
      <c r="R19" s="14"/>
      <c r="S19" s="14">
        <v>1</v>
      </c>
      <c r="T19" s="14"/>
      <c r="U19" s="14"/>
      <c r="V19" s="14"/>
      <c r="W19" s="14"/>
      <c r="X19" s="14">
        <v>1</v>
      </c>
      <c r="Y19" s="14">
        <v>1</v>
      </c>
      <c r="Z19" s="14">
        <v>1</v>
      </c>
      <c r="AA19" s="28"/>
      <c r="AB19" s="14"/>
      <c r="AC19" s="14"/>
      <c r="AD19" s="14">
        <v>1</v>
      </c>
      <c r="AE19" s="14"/>
      <c r="AF19" s="14"/>
      <c r="AG19" s="14"/>
      <c r="AH19" s="14"/>
      <c r="AI19" s="14"/>
      <c r="AJ19" s="14"/>
      <c r="AK19" s="14">
        <v>1</v>
      </c>
      <c r="AL19" s="14"/>
      <c r="AM19" s="14"/>
      <c r="AN19" s="14">
        <v>1</v>
      </c>
      <c r="AO19" s="28"/>
      <c r="AP19" s="14"/>
      <c r="AQ19" s="28"/>
      <c r="AR19" s="6">
        <f t="shared" si="0"/>
        <v>14</v>
      </c>
      <c r="AS19" s="64">
        <f t="shared" si="1"/>
        <v>53.846153846153847</v>
      </c>
    </row>
    <row r="20" spans="1:45" x14ac:dyDescent="0.25">
      <c r="A20" s="8">
        <v>10</v>
      </c>
      <c r="B20" s="22" t="s">
        <v>41</v>
      </c>
      <c r="C20" s="8" t="s">
        <v>46</v>
      </c>
      <c r="D20" s="8" t="s">
        <v>6</v>
      </c>
      <c r="E20" s="15">
        <v>8036996619</v>
      </c>
      <c r="F20" s="18" t="s">
        <v>32</v>
      </c>
      <c r="G20" s="60"/>
      <c r="H20" s="14"/>
      <c r="I20" s="14"/>
      <c r="J20" s="14"/>
      <c r="K20" s="14">
        <v>1</v>
      </c>
      <c r="L20" s="14">
        <v>1</v>
      </c>
      <c r="M20" s="14">
        <v>1</v>
      </c>
      <c r="N20" s="28">
        <v>1</v>
      </c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28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28"/>
      <c r="AP20" s="14"/>
      <c r="AQ20" s="28"/>
      <c r="AR20" s="6">
        <f t="shared" si="0"/>
        <v>4</v>
      </c>
      <c r="AS20" s="6">
        <f t="shared" si="1"/>
        <v>15.384615384615385</v>
      </c>
    </row>
    <row r="21" spans="1:45" x14ac:dyDescent="0.25">
      <c r="A21" s="8">
        <v>11</v>
      </c>
      <c r="B21" s="22" t="s">
        <v>41</v>
      </c>
      <c r="C21" s="14" t="s">
        <v>21</v>
      </c>
      <c r="D21" s="14" t="s">
        <v>5</v>
      </c>
      <c r="E21" s="15">
        <v>9026843201</v>
      </c>
      <c r="F21" s="18" t="s">
        <v>33</v>
      </c>
      <c r="G21" s="60"/>
      <c r="H21" s="14"/>
      <c r="I21" s="14"/>
      <c r="J21" s="14"/>
      <c r="K21" s="14"/>
      <c r="L21" s="14">
        <v>1</v>
      </c>
      <c r="M21" s="14">
        <v>1</v>
      </c>
      <c r="N21" s="28">
        <v>1</v>
      </c>
      <c r="O21" s="14">
        <v>1</v>
      </c>
      <c r="P21" s="14"/>
      <c r="Q21" s="14">
        <v>1</v>
      </c>
      <c r="R21" s="14">
        <v>1</v>
      </c>
      <c r="S21" s="14">
        <v>1</v>
      </c>
      <c r="T21" s="14">
        <v>1</v>
      </c>
      <c r="U21" s="14">
        <v>1</v>
      </c>
      <c r="V21" s="14">
        <v>1</v>
      </c>
      <c r="W21" s="14"/>
      <c r="X21" s="14">
        <v>1</v>
      </c>
      <c r="Y21" s="14"/>
      <c r="Z21" s="14"/>
      <c r="AA21" s="28">
        <v>1</v>
      </c>
      <c r="AB21" s="14"/>
      <c r="AC21" s="14"/>
      <c r="AD21" s="14">
        <v>1</v>
      </c>
      <c r="AE21" s="14"/>
      <c r="AF21" s="14">
        <v>1</v>
      </c>
      <c r="AG21" s="14"/>
      <c r="AH21" s="14"/>
      <c r="AI21" s="14"/>
      <c r="AJ21" s="14"/>
      <c r="AK21" s="14"/>
      <c r="AL21" s="14"/>
      <c r="AM21" s="14"/>
      <c r="AN21" s="14"/>
      <c r="AO21" s="28"/>
      <c r="AP21" s="14"/>
      <c r="AQ21" s="28"/>
      <c r="AR21" s="6">
        <f t="shared" si="0"/>
        <v>14</v>
      </c>
      <c r="AS21" s="64">
        <f t="shared" si="1"/>
        <v>53.846153846153847</v>
      </c>
    </row>
    <row r="22" spans="1:45" x14ac:dyDescent="0.25">
      <c r="A22" s="8">
        <v>12</v>
      </c>
      <c r="B22" s="22" t="s">
        <v>42</v>
      </c>
      <c r="C22" s="14" t="s">
        <v>22</v>
      </c>
      <c r="D22" s="14" t="s">
        <v>6</v>
      </c>
      <c r="E22" s="15">
        <v>8068644893</v>
      </c>
      <c r="F22" s="18" t="s">
        <v>34</v>
      </c>
      <c r="G22" s="60"/>
      <c r="H22" s="14">
        <v>1</v>
      </c>
      <c r="I22" s="14"/>
      <c r="J22" s="14"/>
      <c r="K22" s="14"/>
      <c r="L22" s="14"/>
      <c r="M22" s="14"/>
      <c r="N22" s="28"/>
      <c r="O22" s="14">
        <v>1</v>
      </c>
      <c r="P22" s="14"/>
      <c r="Q22" s="14">
        <v>1</v>
      </c>
      <c r="R22" s="14">
        <v>1</v>
      </c>
      <c r="S22" s="14">
        <v>1</v>
      </c>
      <c r="T22" s="14">
        <v>1</v>
      </c>
      <c r="U22" s="14">
        <v>1</v>
      </c>
      <c r="V22" s="14">
        <v>1</v>
      </c>
      <c r="W22" s="14"/>
      <c r="X22" s="14">
        <v>1</v>
      </c>
      <c r="Y22" s="14">
        <v>1</v>
      </c>
      <c r="Z22" s="14">
        <v>1</v>
      </c>
      <c r="AA22" s="28">
        <v>1</v>
      </c>
      <c r="AB22" s="14"/>
      <c r="AC22" s="14"/>
      <c r="AD22" s="14">
        <v>1</v>
      </c>
      <c r="AE22" s="14"/>
      <c r="AF22" s="14">
        <v>1</v>
      </c>
      <c r="AG22" s="14">
        <v>1</v>
      </c>
      <c r="AH22" s="14">
        <v>1</v>
      </c>
      <c r="AI22" s="14"/>
      <c r="AJ22" s="14">
        <v>1</v>
      </c>
      <c r="AK22" s="14">
        <v>1</v>
      </c>
      <c r="AL22" s="14"/>
      <c r="AM22" s="14">
        <v>1</v>
      </c>
      <c r="AN22" s="14">
        <v>1</v>
      </c>
      <c r="AO22" s="28"/>
      <c r="AP22" s="14"/>
      <c r="AQ22" s="28"/>
      <c r="AR22" s="6">
        <f t="shared" si="0"/>
        <v>20</v>
      </c>
      <c r="AS22" s="64">
        <f t="shared" si="1"/>
        <v>76.92307692307692</v>
      </c>
    </row>
    <row r="23" spans="1:45" x14ac:dyDescent="0.25">
      <c r="A23" s="8">
        <v>13</v>
      </c>
      <c r="B23" s="8"/>
      <c r="C23" s="29" t="s">
        <v>68</v>
      </c>
      <c r="D23" s="14" t="s">
        <v>6</v>
      </c>
      <c r="E23" s="15"/>
      <c r="F23" s="19"/>
      <c r="G23" s="60"/>
      <c r="H23" s="14"/>
      <c r="I23" s="14"/>
      <c r="J23" s="14">
        <v>1</v>
      </c>
      <c r="K23" s="14"/>
      <c r="L23" s="14">
        <v>1</v>
      </c>
      <c r="M23" s="14"/>
      <c r="N23" s="28"/>
      <c r="O23" s="14">
        <v>1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28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28"/>
      <c r="AP23" s="14"/>
      <c r="AQ23" s="28"/>
      <c r="AR23" s="6">
        <f t="shared" si="0"/>
        <v>3</v>
      </c>
      <c r="AS23" s="6">
        <f t="shared" si="1"/>
        <v>11.538461538461538</v>
      </c>
    </row>
    <row r="24" spans="1:45" x14ac:dyDescent="0.25">
      <c r="A24" s="8">
        <v>14</v>
      </c>
      <c r="B24" s="8"/>
      <c r="C24" s="29" t="s">
        <v>69</v>
      </c>
      <c r="D24" s="14" t="s">
        <v>6</v>
      </c>
      <c r="E24" s="15"/>
      <c r="F24" s="19"/>
      <c r="G24" s="60"/>
      <c r="H24" s="14"/>
      <c r="I24" s="14"/>
      <c r="J24" s="14"/>
      <c r="K24" s="14">
        <v>1</v>
      </c>
      <c r="L24" s="14"/>
      <c r="M24" s="14"/>
      <c r="N24" s="28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28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28"/>
      <c r="AP24" s="14"/>
      <c r="AQ24" s="28"/>
      <c r="AR24" s="6">
        <f t="shared" si="0"/>
        <v>1</v>
      </c>
      <c r="AS24" s="6">
        <f t="shared" si="1"/>
        <v>3.8461538461538463</v>
      </c>
    </row>
    <row r="25" spans="1:45" x14ac:dyDescent="0.25">
      <c r="A25" s="8">
        <v>15</v>
      </c>
      <c r="B25" s="8"/>
      <c r="C25" s="29" t="s">
        <v>70</v>
      </c>
      <c r="D25" s="14" t="s">
        <v>5</v>
      </c>
      <c r="E25" s="15"/>
      <c r="F25" s="19"/>
      <c r="G25" s="60"/>
      <c r="H25" s="14"/>
      <c r="I25" s="14"/>
      <c r="J25" s="14"/>
      <c r="K25" s="14">
        <v>1</v>
      </c>
      <c r="L25" s="14"/>
      <c r="M25" s="14"/>
      <c r="N25" s="28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28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28"/>
      <c r="AP25" s="14"/>
      <c r="AQ25" s="28"/>
      <c r="AR25" s="6">
        <f t="shared" si="0"/>
        <v>1</v>
      </c>
      <c r="AS25" s="6">
        <f t="shared" si="1"/>
        <v>3.8461538461538463</v>
      </c>
    </row>
    <row r="26" spans="1:45" x14ac:dyDescent="0.25">
      <c r="A26" s="8">
        <v>16</v>
      </c>
      <c r="B26" s="8"/>
      <c r="C26" s="29" t="s">
        <v>71</v>
      </c>
      <c r="D26" s="14" t="s">
        <v>6</v>
      </c>
      <c r="E26" s="15"/>
      <c r="F26" s="19"/>
      <c r="G26" s="60"/>
      <c r="H26" s="14"/>
      <c r="I26" s="14"/>
      <c r="J26" s="14"/>
      <c r="K26" s="14"/>
      <c r="L26" s="14"/>
      <c r="M26" s="14">
        <v>1</v>
      </c>
      <c r="N26" s="28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28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28"/>
      <c r="AP26" s="14"/>
      <c r="AQ26" s="28"/>
      <c r="AR26" s="6">
        <f t="shared" si="0"/>
        <v>1</v>
      </c>
      <c r="AS26" s="6">
        <f t="shared" si="1"/>
        <v>3.8461538461538463</v>
      </c>
    </row>
    <row r="27" spans="1:45" x14ac:dyDescent="0.25">
      <c r="A27" s="8">
        <v>17</v>
      </c>
      <c r="B27" s="8"/>
      <c r="C27" s="29" t="s">
        <v>72</v>
      </c>
      <c r="D27" s="14" t="s">
        <v>5</v>
      </c>
      <c r="E27" s="15"/>
      <c r="F27" s="19"/>
      <c r="G27" s="60"/>
      <c r="H27" s="14"/>
      <c r="I27" s="14"/>
      <c r="J27" s="14"/>
      <c r="K27" s="14"/>
      <c r="L27" s="14"/>
      <c r="M27" s="14">
        <v>1</v>
      </c>
      <c r="N27" s="28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28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28"/>
      <c r="AP27" s="14"/>
      <c r="AQ27" s="28"/>
      <c r="AR27" s="6">
        <f t="shared" si="0"/>
        <v>1</v>
      </c>
      <c r="AS27" s="6">
        <f t="shared" si="1"/>
        <v>3.8461538461538463</v>
      </c>
    </row>
    <row r="28" spans="1:45" x14ac:dyDescent="0.25">
      <c r="A28" s="8">
        <v>18</v>
      </c>
      <c r="B28" s="8"/>
      <c r="C28" s="29" t="s">
        <v>73</v>
      </c>
      <c r="D28" s="14" t="s">
        <v>5</v>
      </c>
      <c r="E28" s="15"/>
      <c r="F28" s="19"/>
      <c r="G28" s="60"/>
      <c r="H28" s="14"/>
      <c r="I28" s="14"/>
      <c r="J28" s="14"/>
      <c r="K28" s="14"/>
      <c r="L28" s="14"/>
      <c r="M28" s="14"/>
      <c r="N28" s="28">
        <v>1</v>
      </c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28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28"/>
      <c r="AP28" s="14"/>
      <c r="AQ28" s="28"/>
      <c r="AR28" s="6">
        <f t="shared" si="0"/>
        <v>1</v>
      </c>
      <c r="AS28" s="6">
        <f t="shared" si="1"/>
        <v>3.8461538461538463</v>
      </c>
    </row>
    <row r="29" spans="1:45" x14ac:dyDescent="0.25">
      <c r="A29" s="8">
        <v>19</v>
      </c>
      <c r="B29" s="8"/>
      <c r="C29" s="29" t="s">
        <v>74</v>
      </c>
      <c r="D29" s="14" t="s">
        <v>6</v>
      </c>
      <c r="E29" s="15"/>
      <c r="F29" s="19"/>
      <c r="G29" s="60"/>
      <c r="H29" s="14"/>
      <c r="I29" s="14"/>
      <c r="J29" s="14"/>
      <c r="K29" s="14"/>
      <c r="L29" s="14"/>
      <c r="M29" s="14"/>
      <c r="N29" s="28"/>
      <c r="O29" s="14"/>
      <c r="P29" s="14"/>
      <c r="Q29" s="14"/>
      <c r="R29" s="14"/>
      <c r="S29" s="14">
        <v>1</v>
      </c>
      <c r="T29" s="14"/>
      <c r="U29" s="14"/>
      <c r="V29" s="14"/>
      <c r="W29" s="14"/>
      <c r="X29" s="14"/>
      <c r="Y29" s="14"/>
      <c r="Z29" s="14"/>
      <c r="AA29" s="28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28"/>
      <c r="AP29" s="14"/>
      <c r="AQ29" s="28"/>
      <c r="AR29" s="6">
        <f t="shared" si="0"/>
        <v>1</v>
      </c>
      <c r="AS29" s="6">
        <f t="shared" si="1"/>
        <v>3.8461538461538463</v>
      </c>
    </row>
    <row r="30" spans="1:45" x14ac:dyDescent="0.25">
      <c r="A30" s="8">
        <v>20</v>
      </c>
      <c r="B30" s="8"/>
      <c r="C30" s="29" t="s">
        <v>75</v>
      </c>
      <c r="D30" s="14" t="s">
        <v>5</v>
      </c>
      <c r="E30" s="15"/>
      <c r="F30" s="19"/>
      <c r="G30" s="60"/>
      <c r="H30" s="14"/>
      <c r="I30" s="14"/>
      <c r="J30" s="14"/>
      <c r="K30" s="14"/>
      <c r="L30" s="14"/>
      <c r="M30" s="14"/>
      <c r="N30" s="28"/>
      <c r="O30" s="14"/>
      <c r="P30" s="14"/>
      <c r="Q30" s="14"/>
      <c r="R30" s="14"/>
      <c r="S30" s="14">
        <v>1</v>
      </c>
      <c r="T30" s="14"/>
      <c r="U30" s="14"/>
      <c r="V30" s="14"/>
      <c r="W30" s="14"/>
      <c r="X30" s="14"/>
      <c r="Y30" s="14"/>
      <c r="Z30" s="14"/>
      <c r="AA30" s="28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28"/>
      <c r="AP30" s="14"/>
      <c r="AQ30" s="28"/>
      <c r="AR30" s="6">
        <f t="shared" si="0"/>
        <v>1</v>
      </c>
      <c r="AS30" s="6">
        <f t="shared" si="1"/>
        <v>3.8461538461538463</v>
      </c>
    </row>
    <row r="31" spans="1:45" x14ac:dyDescent="0.25">
      <c r="A31" s="8">
        <v>21</v>
      </c>
      <c r="B31" s="8"/>
      <c r="C31" s="29" t="s">
        <v>76</v>
      </c>
      <c r="D31" s="14" t="s">
        <v>5</v>
      </c>
      <c r="E31" s="15"/>
      <c r="F31" s="19"/>
      <c r="G31" s="60"/>
      <c r="H31" s="14"/>
      <c r="I31" s="14"/>
      <c r="J31" s="14"/>
      <c r="K31" s="14"/>
      <c r="L31" s="14"/>
      <c r="M31" s="14"/>
      <c r="N31" s="28"/>
      <c r="O31" s="14"/>
      <c r="P31" s="14"/>
      <c r="Q31" s="14"/>
      <c r="R31" s="14"/>
      <c r="S31" s="14"/>
      <c r="T31" s="14"/>
      <c r="U31" s="14">
        <v>1</v>
      </c>
      <c r="V31" s="14"/>
      <c r="W31" s="14"/>
      <c r="X31" s="14"/>
      <c r="Y31" s="14"/>
      <c r="Z31" s="14"/>
      <c r="AA31" s="28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28"/>
      <c r="AP31" s="14"/>
      <c r="AQ31" s="28"/>
      <c r="AR31" s="6">
        <f t="shared" si="0"/>
        <v>1</v>
      </c>
      <c r="AS31" s="6">
        <f t="shared" si="1"/>
        <v>3.8461538461538463</v>
      </c>
    </row>
    <row r="32" spans="1:45" x14ac:dyDescent="0.25">
      <c r="A32" s="8">
        <v>22</v>
      </c>
      <c r="B32" s="8"/>
      <c r="C32" s="14"/>
      <c r="D32" s="14"/>
      <c r="E32" s="15"/>
      <c r="F32" s="19"/>
      <c r="G32" s="60"/>
      <c r="H32" s="14"/>
      <c r="I32" s="14"/>
      <c r="J32" s="14"/>
      <c r="K32" s="14"/>
      <c r="L32" s="14"/>
      <c r="M32" s="14"/>
      <c r="N32" s="28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28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28"/>
      <c r="AP32" s="14"/>
      <c r="AQ32" s="28"/>
      <c r="AR32" s="6">
        <f t="shared" si="0"/>
        <v>0</v>
      </c>
      <c r="AS32" s="6">
        <f t="shared" si="1"/>
        <v>0</v>
      </c>
    </row>
    <row r="33" spans="1:45" x14ac:dyDescent="0.25">
      <c r="A33" s="8">
        <v>23</v>
      </c>
      <c r="B33" s="8"/>
      <c r="C33" s="14"/>
      <c r="D33" s="14"/>
      <c r="E33" s="15"/>
      <c r="F33" s="19"/>
      <c r="G33" s="60"/>
      <c r="H33" s="14"/>
      <c r="I33" s="14"/>
      <c r="J33" s="14"/>
      <c r="K33" s="14"/>
      <c r="L33" s="14"/>
      <c r="M33" s="14"/>
      <c r="N33" s="28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28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28"/>
      <c r="AP33" s="14"/>
      <c r="AQ33" s="28"/>
      <c r="AR33" s="6">
        <f t="shared" si="0"/>
        <v>0</v>
      </c>
      <c r="AS33" s="6">
        <f t="shared" si="1"/>
        <v>0</v>
      </c>
    </row>
    <row r="34" spans="1:45" x14ac:dyDescent="0.25">
      <c r="A34" s="8">
        <v>24</v>
      </c>
      <c r="B34" s="8"/>
      <c r="C34" s="14"/>
      <c r="D34" s="14"/>
      <c r="E34" s="15"/>
      <c r="F34" s="19"/>
      <c r="G34" s="60"/>
      <c r="H34" s="14"/>
      <c r="I34" s="14"/>
      <c r="J34" s="14"/>
      <c r="K34" s="14"/>
      <c r="L34" s="14"/>
      <c r="M34" s="14"/>
      <c r="N34" s="28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28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28"/>
      <c r="AP34" s="14"/>
      <c r="AQ34" s="28"/>
      <c r="AR34" s="6">
        <f t="shared" si="0"/>
        <v>0</v>
      </c>
      <c r="AS34" s="6">
        <f t="shared" si="1"/>
        <v>0</v>
      </c>
    </row>
    <row r="35" spans="1:45" x14ac:dyDescent="0.25">
      <c r="A35" s="8">
        <v>25</v>
      </c>
      <c r="B35" s="8"/>
      <c r="C35" s="14"/>
      <c r="D35" s="14"/>
      <c r="E35" s="15"/>
      <c r="F35" s="19"/>
      <c r="G35" s="59"/>
      <c r="H35" s="14"/>
      <c r="I35" s="14"/>
      <c r="J35" s="14"/>
      <c r="K35" s="14"/>
      <c r="L35" s="14"/>
      <c r="M35" s="14"/>
      <c r="N35" s="28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28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28"/>
      <c r="AP35" s="14"/>
      <c r="AQ35" s="28"/>
      <c r="AR35" s="6">
        <f t="shared" si="0"/>
        <v>0</v>
      </c>
      <c r="AS35" s="6">
        <f t="shared" si="1"/>
        <v>0</v>
      </c>
    </row>
    <row r="36" spans="1:45" x14ac:dyDescent="0.25">
      <c r="G36" s="6" t="s">
        <v>45</v>
      </c>
      <c r="H36" s="6">
        <f>SUM(H11:H35)</f>
        <v>6</v>
      </c>
      <c r="I36" s="6">
        <f t="shared" ref="I36:AQ36" si="2">SUM(I11:I35)</f>
        <v>6</v>
      </c>
      <c r="J36" s="6">
        <f t="shared" si="2"/>
        <v>8</v>
      </c>
      <c r="K36" s="6">
        <f t="shared" si="2"/>
        <v>10</v>
      </c>
      <c r="L36" s="6">
        <f t="shared" si="2"/>
        <v>7</v>
      </c>
      <c r="M36" s="6">
        <f t="shared" si="2"/>
        <v>9</v>
      </c>
      <c r="N36" s="27">
        <f t="shared" si="2"/>
        <v>8</v>
      </c>
      <c r="O36" s="6">
        <f t="shared" si="2"/>
        <v>9</v>
      </c>
      <c r="P36" s="6">
        <f t="shared" si="2"/>
        <v>0</v>
      </c>
      <c r="Q36" s="6">
        <f t="shared" si="2"/>
        <v>5</v>
      </c>
      <c r="R36" s="6">
        <f t="shared" si="2"/>
        <v>4</v>
      </c>
      <c r="S36" s="6">
        <f t="shared" si="2"/>
        <v>9</v>
      </c>
      <c r="T36" s="6">
        <f t="shared" si="2"/>
        <v>6</v>
      </c>
      <c r="U36" s="6">
        <f t="shared" si="2"/>
        <v>4</v>
      </c>
      <c r="V36" s="6">
        <f t="shared" si="2"/>
        <v>4</v>
      </c>
      <c r="W36" s="6">
        <f t="shared" si="2"/>
        <v>0</v>
      </c>
      <c r="X36" s="6">
        <f t="shared" si="2"/>
        <v>4</v>
      </c>
      <c r="Y36" s="6">
        <f t="shared" si="2"/>
        <v>5</v>
      </c>
      <c r="Z36" s="6">
        <f t="shared" si="2"/>
        <v>5</v>
      </c>
      <c r="AA36" s="27">
        <f t="shared" si="2"/>
        <v>3</v>
      </c>
      <c r="AB36" s="6">
        <f t="shared" si="2"/>
        <v>0</v>
      </c>
      <c r="AC36" s="6">
        <f t="shared" si="2"/>
        <v>0</v>
      </c>
      <c r="AD36" s="6">
        <f t="shared" si="2"/>
        <v>4</v>
      </c>
      <c r="AE36" s="6">
        <f t="shared" si="2"/>
        <v>0</v>
      </c>
      <c r="AF36" s="6">
        <f t="shared" si="2"/>
        <v>3</v>
      </c>
      <c r="AG36" s="6">
        <f t="shared" si="2"/>
        <v>2</v>
      </c>
      <c r="AH36" s="6">
        <f t="shared" si="2"/>
        <v>2</v>
      </c>
      <c r="AI36" s="6">
        <f t="shared" si="2"/>
        <v>0</v>
      </c>
      <c r="AJ36" s="6">
        <f t="shared" si="2"/>
        <v>1</v>
      </c>
      <c r="AK36" s="6">
        <f t="shared" si="2"/>
        <v>3</v>
      </c>
      <c r="AL36" s="6">
        <f t="shared" si="2"/>
        <v>0</v>
      </c>
      <c r="AM36" s="6">
        <f t="shared" si="2"/>
        <v>2</v>
      </c>
      <c r="AN36" s="6">
        <f t="shared" si="2"/>
        <v>3</v>
      </c>
      <c r="AO36" s="27">
        <f t="shared" si="2"/>
        <v>0</v>
      </c>
      <c r="AP36" s="6">
        <f t="shared" si="2"/>
        <v>0</v>
      </c>
      <c r="AQ36" s="27">
        <f t="shared" si="2"/>
        <v>0</v>
      </c>
      <c r="AR36" s="14"/>
      <c r="AS36" s="14"/>
    </row>
  </sheetData>
  <autoFilter ref="A9:AS36"/>
  <mergeCells count="3">
    <mergeCell ref="AR9:AR10"/>
    <mergeCell ref="AS9:AS10"/>
    <mergeCell ref="G9:G35"/>
  </mergeCells>
  <pageMargins left="0.25" right="0.25" top="0.25" bottom="0.25" header="0" footer="0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zoomScale="90" zoomScaleNormal="90" workbookViewId="0">
      <selection activeCell="D22" sqref="D22"/>
    </sheetView>
  </sheetViews>
  <sheetFormatPr defaultRowHeight="20.100000000000001" customHeight="1" x14ac:dyDescent="0.25"/>
  <cols>
    <col min="1" max="1" width="4.140625" style="31" customWidth="1"/>
    <col min="2" max="2" width="14" style="31" customWidth="1"/>
    <col min="3" max="3" width="43.28515625" style="31" customWidth="1"/>
    <col min="4" max="4" width="5.7109375" style="31" customWidth="1"/>
    <col min="5" max="5" width="20" style="31" bestFit="1" customWidth="1"/>
    <col min="6" max="6" width="18.28515625" style="31" customWidth="1"/>
    <col min="7" max="7" width="6.7109375" style="31" customWidth="1"/>
    <col min="8" max="8" width="8" style="31" customWidth="1"/>
    <col min="9" max="16384" width="9.140625" style="31"/>
  </cols>
  <sheetData>
    <row r="1" spans="1:8" ht="20.100000000000001" customHeight="1" x14ac:dyDescent="0.25">
      <c r="A1" s="61" t="s">
        <v>87</v>
      </c>
      <c r="B1" s="61"/>
      <c r="C1" s="61"/>
      <c r="D1" s="61"/>
      <c r="E1" s="61"/>
      <c r="F1" s="61"/>
      <c r="G1" s="61"/>
      <c r="H1" s="61"/>
    </row>
    <row r="2" spans="1:8" ht="20.100000000000001" customHeight="1" x14ac:dyDescent="0.25">
      <c r="A2" s="62" t="s">
        <v>88</v>
      </c>
      <c r="B2" s="62"/>
      <c r="C2" s="62"/>
      <c r="D2" s="62"/>
      <c r="E2" s="62"/>
      <c r="F2" s="62"/>
      <c r="G2" s="62"/>
      <c r="H2" s="62"/>
    </row>
    <row r="3" spans="1:8" s="32" customFormat="1" ht="20.100000000000001" customHeight="1" x14ac:dyDescent="0.25">
      <c r="A3" s="63" t="s">
        <v>91</v>
      </c>
      <c r="B3" s="63"/>
      <c r="C3" s="63"/>
      <c r="D3" s="63"/>
      <c r="E3" s="63"/>
      <c r="F3" s="63"/>
      <c r="G3" s="63"/>
      <c r="H3" s="63"/>
    </row>
    <row r="4" spans="1:8" ht="20.100000000000001" customHeight="1" x14ac:dyDescent="0.25">
      <c r="A4" s="46" t="s">
        <v>89</v>
      </c>
      <c r="B4" s="46"/>
      <c r="D4" s="33"/>
    </row>
    <row r="5" spans="1:8" ht="20.100000000000001" customHeight="1" x14ac:dyDescent="0.25">
      <c r="A5" s="34" t="s">
        <v>90</v>
      </c>
      <c r="B5" s="46"/>
      <c r="D5" s="33"/>
    </row>
    <row r="6" spans="1:8" ht="20.100000000000001" customHeight="1" x14ac:dyDescent="0.25">
      <c r="A6" s="34" t="s">
        <v>93</v>
      </c>
      <c r="B6" s="46"/>
      <c r="D6" s="33"/>
    </row>
    <row r="7" spans="1:8" ht="25.5" customHeight="1" x14ac:dyDescent="0.25">
      <c r="A7" s="34" t="s">
        <v>94</v>
      </c>
      <c r="B7" s="46"/>
      <c r="D7" s="33"/>
    </row>
    <row r="8" spans="1:8" s="52" customFormat="1" ht="74.25" customHeight="1" thickBot="1" x14ac:dyDescent="0.3">
      <c r="A8" s="49" t="s">
        <v>0</v>
      </c>
      <c r="B8" s="49" t="s">
        <v>36</v>
      </c>
      <c r="C8" s="49" t="s">
        <v>7</v>
      </c>
      <c r="D8" s="49" t="s">
        <v>1</v>
      </c>
      <c r="E8" s="50" t="s">
        <v>4</v>
      </c>
      <c r="F8" s="51" t="s">
        <v>35</v>
      </c>
      <c r="G8" s="53" t="s">
        <v>92</v>
      </c>
      <c r="H8" s="53" t="s">
        <v>9</v>
      </c>
    </row>
    <row r="9" spans="1:8" ht="20.100000000000001" customHeight="1" x14ac:dyDescent="0.25">
      <c r="A9" s="35">
        <v>1</v>
      </c>
      <c r="B9" s="36" t="s">
        <v>37</v>
      </c>
      <c r="C9" s="37" t="s">
        <v>44</v>
      </c>
      <c r="D9" s="54" t="s">
        <v>6</v>
      </c>
      <c r="E9" s="47">
        <v>8034179677</v>
      </c>
      <c r="F9" s="38" t="s">
        <v>23</v>
      </c>
      <c r="G9" s="48">
        <v>4</v>
      </c>
      <c r="H9" s="48">
        <v>15</v>
      </c>
    </row>
    <row r="10" spans="1:8" ht="20.100000000000001" customHeight="1" x14ac:dyDescent="0.25">
      <c r="A10" s="39">
        <v>2</v>
      </c>
      <c r="B10" s="40" t="s">
        <v>37</v>
      </c>
      <c r="C10" s="41" t="s">
        <v>14</v>
      </c>
      <c r="D10" s="55" t="s">
        <v>6</v>
      </c>
      <c r="E10" s="42">
        <v>8185275509</v>
      </c>
      <c r="F10" s="43" t="s">
        <v>24</v>
      </c>
      <c r="G10" s="45">
        <v>16</v>
      </c>
      <c r="H10" s="45">
        <v>62</v>
      </c>
    </row>
    <row r="11" spans="1:8" ht="20.100000000000001" customHeight="1" x14ac:dyDescent="0.25">
      <c r="A11" s="39">
        <v>3</v>
      </c>
      <c r="B11" s="40" t="s">
        <v>38</v>
      </c>
      <c r="C11" s="41" t="s">
        <v>15</v>
      </c>
      <c r="D11" s="55" t="s">
        <v>5</v>
      </c>
      <c r="E11" s="57">
        <v>7064971979</v>
      </c>
      <c r="F11" s="43" t="s">
        <v>25</v>
      </c>
      <c r="G11" s="45">
        <v>22</v>
      </c>
      <c r="H11" s="45">
        <v>85</v>
      </c>
    </row>
    <row r="12" spans="1:8" ht="20.100000000000001" customHeight="1" x14ac:dyDescent="0.25">
      <c r="A12" s="39">
        <v>4</v>
      </c>
      <c r="B12" s="40" t="s">
        <v>39</v>
      </c>
      <c r="C12" s="45" t="s">
        <v>16</v>
      </c>
      <c r="D12" s="55" t="s">
        <v>6</v>
      </c>
      <c r="E12" s="44">
        <v>8160590597</v>
      </c>
      <c r="F12" s="43" t="s">
        <v>26</v>
      </c>
      <c r="G12" s="45">
        <v>1</v>
      </c>
      <c r="H12" s="45">
        <v>4</v>
      </c>
    </row>
    <row r="13" spans="1:8" ht="20.100000000000001" customHeight="1" x14ac:dyDescent="0.25">
      <c r="A13" s="39">
        <v>5</v>
      </c>
      <c r="B13" s="40" t="s">
        <v>39</v>
      </c>
      <c r="C13" s="45" t="s">
        <v>17</v>
      </c>
      <c r="D13" s="55" t="s">
        <v>6</v>
      </c>
      <c r="E13" s="44">
        <v>8139799185</v>
      </c>
      <c r="F13" s="43" t="s">
        <v>27</v>
      </c>
      <c r="G13" s="45">
        <v>9</v>
      </c>
      <c r="H13" s="45">
        <v>35</v>
      </c>
    </row>
    <row r="14" spans="1:8" ht="20.100000000000001" customHeight="1" x14ac:dyDescent="0.25">
      <c r="A14" s="39">
        <v>6</v>
      </c>
      <c r="B14" s="40" t="s">
        <v>39</v>
      </c>
      <c r="C14" s="45" t="s">
        <v>18</v>
      </c>
      <c r="D14" s="55" t="s">
        <v>6</v>
      </c>
      <c r="E14" s="44">
        <v>8068292466</v>
      </c>
      <c r="F14" s="43" t="s">
        <v>28</v>
      </c>
      <c r="G14" s="45">
        <v>11</v>
      </c>
      <c r="H14" s="45">
        <v>42</v>
      </c>
    </row>
    <row r="15" spans="1:8" ht="20.100000000000001" customHeight="1" x14ac:dyDescent="0.25">
      <c r="A15" s="39">
        <v>7</v>
      </c>
      <c r="B15" s="40" t="s">
        <v>40</v>
      </c>
      <c r="C15" s="41" t="s">
        <v>43</v>
      </c>
      <c r="D15" s="55" t="s">
        <v>5</v>
      </c>
      <c r="E15" s="44">
        <v>8034529847</v>
      </c>
      <c r="F15" s="43" t="s">
        <v>29</v>
      </c>
      <c r="G15" s="45">
        <v>3</v>
      </c>
      <c r="H15" s="45">
        <v>12</v>
      </c>
    </row>
    <row r="16" spans="1:8" ht="20.100000000000001" customHeight="1" x14ac:dyDescent="0.25">
      <c r="A16" s="39">
        <v>8</v>
      </c>
      <c r="B16" s="40" t="s">
        <v>40</v>
      </c>
      <c r="C16" s="41" t="s">
        <v>19</v>
      </c>
      <c r="D16" s="55" t="s">
        <v>6</v>
      </c>
      <c r="E16" s="44">
        <v>9023833282</v>
      </c>
      <c r="F16" s="43" t="s">
        <v>30</v>
      </c>
      <c r="G16" s="45">
        <v>3</v>
      </c>
      <c r="H16" s="45">
        <v>12</v>
      </c>
    </row>
    <row r="17" spans="1:8" ht="20.100000000000001" customHeight="1" x14ac:dyDescent="0.25">
      <c r="A17" s="39">
        <v>9</v>
      </c>
      <c r="B17" s="40" t="s">
        <v>41</v>
      </c>
      <c r="C17" s="41" t="s">
        <v>20</v>
      </c>
      <c r="D17" s="55" t="s">
        <v>5</v>
      </c>
      <c r="E17" s="44">
        <v>8158688636</v>
      </c>
      <c r="F17" s="43" t="s">
        <v>31</v>
      </c>
      <c r="G17" s="45">
        <v>14</v>
      </c>
      <c r="H17" s="45">
        <v>54</v>
      </c>
    </row>
    <row r="18" spans="1:8" ht="20.100000000000001" customHeight="1" x14ac:dyDescent="0.25">
      <c r="A18" s="39">
        <v>10</v>
      </c>
      <c r="B18" s="40" t="s">
        <v>41</v>
      </c>
      <c r="C18" s="41" t="s">
        <v>46</v>
      </c>
      <c r="D18" s="55" t="s">
        <v>6</v>
      </c>
      <c r="E18" s="44">
        <v>8036996619</v>
      </c>
      <c r="F18" s="43" t="s">
        <v>32</v>
      </c>
      <c r="G18" s="45">
        <v>4</v>
      </c>
      <c r="H18" s="45">
        <v>15</v>
      </c>
    </row>
    <row r="19" spans="1:8" ht="20.100000000000001" customHeight="1" x14ac:dyDescent="0.25">
      <c r="A19" s="39">
        <v>11</v>
      </c>
      <c r="B19" s="40" t="s">
        <v>41</v>
      </c>
      <c r="C19" s="45" t="s">
        <v>21</v>
      </c>
      <c r="D19" s="56" t="s">
        <v>5</v>
      </c>
      <c r="E19" s="44">
        <v>9026843201</v>
      </c>
      <c r="F19" s="43" t="s">
        <v>33</v>
      </c>
      <c r="G19" s="45">
        <v>14</v>
      </c>
      <c r="H19" s="45">
        <v>54</v>
      </c>
    </row>
    <row r="20" spans="1:8" ht="20.100000000000001" customHeight="1" x14ac:dyDescent="0.25">
      <c r="A20" s="39">
        <v>12</v>
      </c>
      <c r="B20" s="40" t="s">
        <v>42</v>
      </c>
      <c r="C20" s="45" t="s">
        <v>22</v>
      </c>
      <c r="D20" s="56" t="s">
        <v>6</v>
      </c>
      <c r="E20" s="44">
        <v>8068644893</v>
      </c>
      <c r="F20" s="43" t="s">
        <v>34</v>
      </c>
      <c r="G20" s="45">
        <v>20</v>
      </c>
      <c r="H20" s="45">
        <v>77</v>
      </c>
    </row>
    <row r="21" spans="1:8" ht="20.100000000000001" customHeight="1" x14ac:dyDescent="0.25">
      <c r="A21" s="39">
        <v>13</v>
      </c>
      <c r="B21" s="40"/>
      <c r="C21" s="45"/>
      <c r="D21" s="56"/>
      <c r="E21" s="44"/>
      <c r="F21" s="43"/>
      <c r="G21" s="45"/>
      <c r="H21" s="45"/>
    </row>
    <row r="22" spans="1:8" ht="20.100000000000001" customHeight="1" x14ac:dyDescent="0.25">
      <c r="A22" s="39">
        <v>14</v>
      </c>
      <c r="B22" s="40"/>
      <c r="C22" s="45"/>
      <c r="D22" s="56"/>
      <c r="E22" s="44"/>
      <c r="F22" s="43"/>
      <c r="G22" s="45"/>
      <c r="H22" s="45"/>
    </row>
    <row r="23" spans="1:8" ht="20.100000000000001" customHeight="1" x14ac:dyDescent="0.25">
      <c r="A23" s="39">
        <v>15</v>
      </c>
      <c r="B23" s="40"/>
      <c r="C23" s="45"/>
      <c r="D23" s="56"/>
      <c r="E23" s="44"/>
      <c r="F23" s="43"/>
      <c r="G23" s="45"/>
      <c r="H23" s="45"/>
    </row>
  </sheetData>
  <mergeCells count="3">
    <mergeCell ref="A1:H1"/>
    <mergeCell ref="A2:H2"/>
    <mergeCell ref="A3:H3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AUG 2019</vt:lpstr>
      <vt:lpstr>REPORT</vt:lpstr>
      <vt:lpstr>'AUG 2019'!Print_Area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EFOSA OBASEKI</dc:creator>
  <cp:lastModifiedBy>User</cp:lastModifiedBy>
  <cp:lastPrinted>2020-03-17T09:22:35Z</cp:lastPrinted>
  <dcterms:created xsi:type="dcterms:W3CDTF">2020-01-27T10:18:20Z</dcterms:created>
  <dcterms:modified xsi:type="dcterms:W3CDTF">2020-08-27T17:28:20Z</dcterms:modified>
</cp:coreProperties>
</file>